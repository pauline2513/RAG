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in\Documents\мага\нлп\RAG\"/>
    </mc:Choice>
  </mc:AlternateContent>
  <xr:revisionPtr revIDLastSave="0" documentId="13_ncr:1_{8F499575-A26F-46B3-95BB-CEFAEED869A6}" xr6:coauthVersionLast="47" xr6:coauthVersionMax="47" xr10:uidLastSave="{00000000-0000-0000-0000-000000000000}"/>
  <bookViews>
    <workbookView xWindow="-110" yWindow="-110" windowWidth="25820" windowHeight="15500" xr2:uid="{28B5BB84-7918-44CB-A328-87DE8461834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5" i="1" l="1"/>
  <c r="I15" i="1"/>
  <c r="H15" i="1"/>
  <c r="E15" i="1"/>
  <c r="F15" i="1"/>
  <c r="D15" i="1"/>
</calcChain>
</file>

<file path=xl/sharedStrings.xml><?xml version="1.0" encoding="utf-8"?>
<sst xmlns="http://schemas.openxmlformats.org/spreadsheetml/2006/main" count="55" uniqueCount="44">
  <si>
    <t>№</t>
  </si>
  <si>
    <t>Вопрос</t>
  </si>
  <si>
    <t>Ответ с RAG</t>
  </si>
  <si>
    <t>Оценка (0-10 баллов)</t>
  </si>
  <si>
    <t>Точность</t>
  </si>
  <si>
    <t xml:space="preserve">Полнота </t>
  </si>
  <si>
    <t>Избыточность</t>
  </si>
  <si>
    <t>Ответ без RAG</t>
  </si>
  <si>
    <t>Сколько содержится Nb в разных видах сплавов и сталей?</t>
  </si>
  <si>
    <t>В разных видах сплавов и сталей содержание ниобия (Nb) варьируется в зависимости от марки стали. Ниже приведены значения содержания ниобия по указанным в графе маркам:
0,10 % Nb — в стали марки 0 (вероятно, техническая или базовая марка).
0,050 % Nb — в стали марки 05г1мб.
0,08 % Nb — в стали марки 05хгндб.
0,034–0,065 % Nb — в стали марки 06г2ндфб (к60) всто.
0,067 % Nb — в стали марки 07г2ндфб.
0,044–0,050 % Nb — в стали марки 07г2фб (х56) «сахалин».
0,066 % Nb — в стали марки 08г2ндфб.
0,03–0,065 % Nb — в стали марки 10г2фб.
Содержит Nb — в стали марки 10г2фбю (точное значение не указано, но наличие ниобия подтверждено).
0,03–0,05 % Nb — в стали марки 1ог2фбю- k60.
Итог:
Содержание ниобия в сталях составляет от 0,03% до 0,10%, в зависимости от марки. Наиболее высокое содержание — до 0,10% (в стали 0), минимальное — от 0,03% (в 1ог2фбю- k60 и 10г2фбю).</t>
  </si>
  <si>
    <t>8 (ограничена лимитом извлечения)</t>
  </si>
  <si>
    <t>Содержание ниобия (Nb) в сплавах и сталях зависит от типа:
Сталь (низколегированная) — до 0,1–0,3% Nb (для упрочнения и повышения температуры рекристаллизации).
Высокопрочные стали (например, 09Г2С, 10ХНДП) — до 0,1–0,2% Nb.
Нержавеющие стали (аустенитные, например, 304) — до 0,1% Nb (часто в сочетании с Ti).
Сплавы на основе никеля (Inconel, Hastelloy) — до 5–10% Nb (для жаропрочности).
Сплавы на основе алюминия (Al–Nb) — до 1–3% Nb (для упрочнения и коррозионной стойкости).
Точное содержание указывается в маркировке или техническом задании.</t>
  </si>
  <si>
    <t>какова температура ТВХП для 08Г2МБ?</t>
  </si>
  <si>
    <t>Температура начала кристаллизации (ТВХП) для стали 08Г2МБ составляет 1520–1540 °C.</t>
  </si>
  <si>
    <t>Температура ТВХП для стали 08Г2МБ составляет –73±6 °С.</t>
  </si>
  <si>
    <t>Какая мощность у МП20-4000?</t>
  </si>
  <si>
    <t>Мощность у МП20-4000 составляет 2940.0.</t>
  </si>
  <si>
    <t>Мощность МП20-4000 составляет 20 МВт.</t>
  </si>
  <si>
    <t>Какие температуры режимов 1-4 твхп для сварного шва?</t>
  </si>
  <si>
    <t>Температуры режимов 1–4 ТВХП для сварного шва следующие:
1 режим ТВХП: –16±5 °C
2 режим ТВХП: –22±5 °C
3 режим ТВХП: –18±8 °C
4 режим ТВХП: –35±9 °C
Эти значения указаны в графе:
сварной шов → температура → режим ТВХП.</t>
  </si>
  <si>
    <t>Температуры режимов 1–4 ТВХП (термическая обработка сварных соединений) для сварного шва:
Режим 1: 600–650 °C (отжиг — снятие остаточных напряжений)
Режим 2: 700–750 °C (нормализация — повышение пластичности)
Режим 3: 850–900 °C (закалка — повышение прочности)
Режим 4: 550–600 °C (отпуск — снятие внутренних напряжений после закалки)
Температуры указаны для стали марок 15ХСНД, 15Х1М1Ф и аналогичных.</t>
  </si>
  <si>
    <t>Каково содержание меди в сталях?</t>
  </si>
  <si>
    <t>Содержание меди в сталях зависит от марки и назначения. Ниже приведены основные значения содержания меди (Cu) для различных марок сталей:
0,53% — в стали 0,53Al+Ti+Cu+Cr (специальная легированная сталь);
0,27% — в стали 05ХГНДБ;
0,09–0,18% — в стали 06Г2НДФБ (К60) по ВСТО;
0,20% — в стали 07Г2НДФБ;
0,19% — в стали 08Г2НДФБ;
0,10% — в стали 10Г2ФБЮ-К60;
0,17% — в стали 06Г2НДБ;
0,15–0,25% — в стали К60;
0,15–0,30% — в стали К65;
Также медь содержится в сталях X80 и X120 (в определённых легированных марках).
Таким образом, содержание меди варьируется от 0,09% до 0,53%, в зависимости от марки и назначения стали.</t>
  </si>
  <si>
    <t>Содержание меди в сталях обычно не превышает 0,3–0,5%. Медь добавляется в небольшие количества для улучшения обрабатываемости резанием и коррозионной стойкости, но не является конструкционной легирующей добавкой.</t>
  </si>
  <si>
    <t>Какие метрики есть для стали марки 06Г2НДБ и какие средние/максимальные значения по этим метрикам в принципе?</t>
  </si>
  <si>
    <t>🔹 Химический состав (в %):
Элемент	Содержание
C (углерод)	0,06
Cr (хром)	0,02
Cu (медь)	0,17
Mn (марганец)	1,55
N (азот)	0,008
Nb (ниобий)	0,066
Ni (никель)	0,18
P (фосфор)	0,006
Pcm (эквивалентное содержание легирующих элементов, %)	0,16
Примечание: Pcm = 0,5×Cr + 0,5×Cu + 0,5×Ni — используется для оценки склонности к закалке.
🔹 Механические свойства (средние и максимальные значения):
Метрика	Среднее значение	Максимальное значение
σв (предел прочности при растяжении, МПа)	627,7	670
σт (предел текучести, МПа)	543,7	600
δ5 (удлинение при разрыве, %)	23,3	27
KCU-60 (удельная ударная вязкость при -60 °C, Дж/см²)	190,2	255
KCV-20 (удельная ударная вязкость при +20 °C, Дж/см²)	149,4	204
ИПГ-20 (индекс пластичности при изгибе при +20 °C)	100	—
🔍 Интерпретация:
Сталь О6Г2НДБ относится к низколегированной конструкционной стали с улучшенными свойствами за счёт добавления Nb и Cu, что повышает прочность и ударную вязкость.
Высокие значения KCU-60 и KCV-20 свидетельствуют о хорошей вязкости при низких и комнатных температурах — подходит для работы в условиях возможного охлаждения.
Значения σв и σт находятся на уровне высокопрочных конструкционных сталей, но ниже, чем у легированных сталей (например, 20ХГ2Р).
Удлинение δ5 ≈ 23% — достаточно высокое, что указывает на хорошую пластичность.
✅ Вывод:
Сталь О6Г2НДБ — это низколегированная сталь с улучшенными прочностными и вязкостными свойствами, предназначенная для ответственных конструкций, работающих в условиях переменных температур и динамических нагрузок.
Средние значения её свойств близки к верхним пределам для своего класса, а максимальные — соответствуют требованиям повышенной надёжности.</t>
  </si>
  <si>
    <t>Для стали марки О6Г2НДБ (сталь для прокатки на обрезных станах, с повышенным содержанием марганца и кремния, для улучшенной обрабатываемости резанием) основные метрики и их типичные значения:
Метрика	Единица	Среднее значение	Максимальное значение
Углерод (C)	%	0,60–0,65	0,68
Кремний (Si)	%	0,80–1,00	1,10
Марганец (Mn)	%	1,20–1,60	1,80
Хром (Cr)	%	до 0,30	0,40
Никель (Ni)	%	до 0,30	0,40
Фосфор (P)	%	≤ 0,035	0,040
Сера (S)	%	≤ 0,020	0,025
Примечание: точные значения зависят от конкретного стандарта (например, ГОСТ 977–88 или аналога), но приведённые диапазоны — типичные для стали О6Г2НДБ.</t>
  </si>
  <si>
    <t>На основе предоставленных путей в графе, требования к метрикам KCV, δ₅, σт и σв следующие:
🔹 KCV (удельная ударная вязкость при температуре –20 °C)
Требование:
≥ 63 Дж/см²
(путь: kcv -&gt; ≥63 -&gt; требования)
🔹 δ₅ (относительное удлинение при растяжении при температуре –20 °C)
Требование:
≥ 20%
(путь: kcv -&gt; ≥20 -&gt; δ5 -&gt; требования)
🔹 σт (предел текучести при температуре –20 °C)
Требование:
480–590 МПа
(путь: требования -&gt; 480-590 -&gt; σт)
🔹 σв (предел прочности при растяжении при температуре –20 °C)
Требование:
590–700 МПа
(путь: требования -&gt; 590-700 -&gt; σв)
🔹 Дополнительное требование (для оценки качества):
σт / σв (отношение предела текучести к пределу прочности)
≤ 0,90
(путь: требования -&gt; ≤0,90 -&gt; σт/σb)
✅ Итоговые требования:
Метрика	Минимальное/допустимое значение
KCV	≥ 63 Дж/см²
δ₅	≥ 20%
σт	480–590 МПа
σв	590–700 МПа
σт / σв	≤ 0,90
Эти параметры являются обязательными для соответствия нормативным требованиям (например, ГОСТ или ТУ на сталь марки 08Г2, 09Г2 и др.).</t>
  </si>
  <si>
    <t>Какие есть требования к метрикам KCV, δ5, σт, σВ?</t>
  </si>
  <si>
    <t>Требования к метрикам KCV, δ5, σт, σВ зависят от марки стали и условий применения (например, ГОСТ, ТУ или международные стандарты). Ниже — общие требования для конструкционных сталей (по ГОСТ 1050-2019 и аналогичным):
KCV — ударная вязкость при температуре –20 °C (по Шараху):
не менее 39 Дж/см² (для большинства марок), для высокопрочных сталей — до 50–60 Дж/см².
δ5 — относительное удлинение при разрыве:
не менее 14% (для углеродистых сталей), для низколегированных — до 20–25%.
σт — временное сопротивление (предел текучести):
Указывается в Н/мм² (МПа), например: 345–590 МПа — в зависимости от марки (Ст3, 09Г2С и др.).
σВ — предел прочности (временное сопротивление разрыву):
Обычно на 10–20% выше σт, например:
Ст3 — 450–500 МПа,
09Г2С — 590–630 МПа.</t>
  </si>
  <si>
    <t>Для МП20-4000 значение 2940.0 относится просто к мощности или к уточненному параметру?</t>
  </si>
  <si>
    <t>Значение 2940.0 для оборудования МП20-4000 относится к номинальной мощности (Nн), а не к уточнённому параметру.
Это подтверждается путём в графе:
Путь: мощность → 2940.0 → мп20-4000
Фрейм: мощность (мощность -&gt; номинальная -&gt; Nн)
Предмет: МП20-4000
Таким образом, 2940.0 кВт — это номинальная мощность электродвигателя МП20-4000.</t>
  </si>
  <si>
    <t>Значение 2940.0 для МП20-4000 относится к мощности (кВт).</t>
  </si>
  <si>
    <t>Для чего температура ТВХП является равной -35±9 °С?</t>
  </si>
  <si>
    <t>Температура ТВХП (температура начала охлаждения после прокатки) равна -35±9 °С для режима 4 ТВХП и применяется при прокатке сварного шва из стали марки 06г2ндб.
Это значение соответствует оптимальному температурному интервалу для завершения охлаждения сварного соединения, обеспечивающему:
формирование требуемой структуры металла (в данном случае — мартенситно-бейнитной),
достижение заданной прочности и пластичности сварного шва,
минимизацию риска образования трещин при охлаждении.
Таким образом, температура -35±9 °С — это контролируемый режим охлаждения, обеспечивающий качественные свойства сварного шва из стали 06г2ндб после прокатки.</t>
  </si>
  <si>
    <t>Температура ТВХП (-35±9 °С) соответствует оптимальному диапазону для обеспечения стабильности и воспроизводимости свойств проката при прокатке — предотвращает преждевременное растрескивание и улучшает качество поверхности.</t>
  </si>
  <si>
    <t>В качестве путей для RAG были извлеченыПуть: 1режим твхп -&gt; -52±17 °С -&gt; основной металл;
Путь: 1режим твхп -&gt; -16±5 °С -&gt; сварной шов;
Путь: 2режим твхп -&gt; -20±12 °С -&gt; основной металл;
Путь: 2режим твхп -&gt; -22±5 °С -&gt; сварной шов;
Путь: 3режим твхп -&gt; -19±13 °С -&gt; основной металл;
Путь: 3режим твхп -&gt; -18±8 °С -&gt; сварной шов;
Путь: 4режим твхп -&gt; -48±18 °С -&gt; основной металл;
Путь: 4режим твхп -&gt; -35±9 °С -&gt; сварной шов;
Путь: твхп -&gt; -142±15 °С -&gt; 06г2мфб;
Путь: твхп -&gt; -70±13 °С -&gt; 06г2ндб;
Путь: твхп -&gt; -142±23 °С -&gt; 07г2мб;
Путь: твхп -&gt; -73±6 °С -&gt; 08г2мб;</t>
  </si>
  <si>
    <t>Сталь О6Г2НДБ и 1ОГ2ФБЮ-К60 — обе относятся к легированным сталям с повышенным содержанием марганца и кремния, но различаются по назначению и составу:
О6Г2НДБ — конструкционная сталь для деталей, работающих при высоких температурах (до 600 °C), с улучшенной жаропрочностью. Содержит Ni, Cr — повышает коррозионную стойкость и прочность.
1ОГ2ФБЮ-К60 — сталь для высокопрочных деталей, работающих при температурах до 500 °C, с улучшенной вязкостью и ударной toughness. Содержит Mo, V — повышает прочность и сопротивление усталости.
Различия:
Температурный режим эксплуатации: О6Г2НДБ — до 600 °C, 1ОГ2ФБЮ-К60 — до 500 °C.
Ni и Cr в О6Г2НДБ — для жаростойкости, Mo и V в 1ОГ2ФБЮ-К60 — для прочности и вязкости.
Применение: О6Г2НДБ — для жаропрочных деталей (печи, трубы), 1ОГ2ФБЮ-К60 — для ответственных конструкций (редукторные шестерни, оси).</t>
  </si>
  <si>
    <t>Сравни сталь марок О6Г2НДБ и 1ОГ2ФБЮ- K60</t>
  </si>
  <si>
    <t>Общие метрики</t>
  </si>
  <si>
    <t>RAG</t>
  </si>
  <si>
    <t>No RAG</t>
  </si>
  <si>
    <t>ЭТАЛОННАЯ МЕТРИКА</t>
  </si>
  <si>
    <t>Сравним сталь марок О6Г2НДБ и 1ОГ2ФБЮ-K60 по ключевым химическим элементам и механическим свойствам на основе представленных путей в графе.
🔹 1. Углерод (C)
О6Г2НДБ:
0,06% (фиксированное значение)
→ Низкое содержание углерода — сталь относится к низкоуглеродистым, пластичная, хорошо поддаётся обработке.
1ОГ2ФБЮ-K60:
0,05–0,08%
→ Также низкоуглеродистая сталь, но диапазон шире — позволяет корректировать свойства в зависимости от условий.
✅ Вывод: Сходство по содержанию углерода. Обе стали — низкоуглеродистые, но у О6Г2НДБ значение фиксировано, у K60 — диапазон.
🔹 2. Хром (Cr)
О6Г2НДБ:
0,10%
→ Умеренное содержание хрома — повышает коррозионную стойкость и твёрдость.
1ОГ2ФБЮ-K60:
0,10%
→ То же самое — хром присутствует в достаточном количестве.
✅ Вывод: Сходство — оба сплава содержат хром выше 0,10%, что указывает на повышенную стойкость к коррозии и износу.
🔹 3. Медь (Cu)
О6Г2НДБ:
0,17%
→ Умеренное содержание — улучшает коррозионную стойкость и прочность.
1ОГ2ФБЮ-K60:
0,15–0,25%
→ Аналогичное содержание, но с более широким диапазоном — позволяет точнее подбирать свойства.
✅ Вывод: Близкие значения. Обе стали содержат медь для улучшения коррозионной стойкости.
🔹 4. Марганец (Mn)
О6Г2НДБ:
1,55%
→ Высокое содержание — улучшает обрабатываемость, прочность и снижает склонность к хрупкости.
1ОГ2ФБЮ-K60:
1,60–1,80%
→ Очень близко — даже выше у K60. Марганец здесь — основной легирующий элемент для улучшения прочности и режущей способности.
✅ Вывод: Очень близкие значения. Обе стали — марганцовистые, с высокой прочностью и обрабатываемостью.
🔹 5. Никель (Ni)
О6Г2НДБ:
0,18%
→ Небольшое содержание — улучшает вязкость и коррозионную стойкость.
1ОГ2ФБЮ-K60:
0,10–0,25%
→ Аналогичное содержание, но с меньшим нижним пределом — позволяет использовать сталь в более чувствительных к хрупкости условиях.
✅ Вывод: Сходство — оба сплава содержат никель для повышения вязкости и коррозионной стойкости.
🔹 6. Молибден (Mo)
О6Г2НДБ:
Не указан (в графе нет пути)
→ Возможно, отсутствует или в следовых количествах.
1ОГ2ФБЮ-K60:
0,10–0,20%
→ Наличие молибдена — повышает жаропрочность, сопротивление коррозии и усталостную прочность.
⚠️ Вывод: У 1ОГ2ФБЮ-K60 — явное преимущество: молибден улучшает эксплуатационные свойства при высоких температурах и в агрессивных средах.
🔹 7. Вольфрам (W)
О6Г2НДБ:
Не указан
1ОГ2ФБЮ-K60:
Не указан
→ Ни в одном из сплавов нет информации о наличии вольфрама.
🔹 8. Никель (Ni) — повтор
Уже рассмотрено.
🔹 9. Кремний (Si)
О6Г2НДБ:
Не указан
1ОГ2ФБЮ-K60:
0,10–0,25%
→ Кремний — легирующий элемент, повышает прочность и упругость, улучшает обрабатываемость резанием.
⚠️ Вывод: Только у 1ОГ2ФБЮ-K60 есть кремний — это даёт дополнительное преимущество в прочности и обработке.
🔹 10. Вольфрам (V)
О6Г2НДБ:
0,01%
→ Небольшое содержание — улучшает прочность и износостойкость.
1ОГ2ФБЮ-K60:
0,01%
→ То же самое — небольшое, но полезное содержание.
✅ Вывод: Сходство — оба сплава содержат вольфрам для повышения износостойкости.
🔹 11. Никель (Ni) — повтор
Уже рассмотрено.
🔹 12. Карбидообразующие элементы (Nb, N)
О6Г2НДБ:
Nb: 0,066%
N: 0,008%
→ Наличие ниобия и азота — стабилизирует цементит, повышает прочность и снижает склонность к закалке.
1ОГ2ФБЮ-K60:
Nb: 0,010–0,025%
N: 0,008%
→ Ниже содержание ниобия, но азота — то же.
⚠️ Вывод: У О6Г2НДБ — выше содержание ниобия, что даёт лучшее стабилизирующее действие на структуру. Это важно для высокопрочных сталей.
🔹 13. Механические свойства — KCV (критическая температура хрупкости)
О6Г2НДБ:
KCV: 295–329 МПа (средние значения)
→ Хорошая ударная вязкость при отрицательных температурах — подходит для работы в условиях холода.
1ОГ2ФБЮ-K60:
Не указано напрямую, но по структуре — аналогично
→ Предположительно, аналогичные значения KCV, так как состав близок.
✅ Вывод: Сходство — обе стали обладают хорошей ударной вязкостью.
✅ Общий вывод: сравнение О6Г2НДБ и 1ОГ2ФБЮ-K60
Параметр	О6Г2НДБ	1ОГ2ФБЮ-K60	Преимущество
Углерод (C)	0,06%	0,05–0,08%	—
Хром (Cr)	&gt;0,10%	&gt;0,10%	—
Медь (Cu)	0,17%	0,15–0,25%	—
Марганец (Mn)	1,55%	1,60–1,80%	K60 выше
Никель (Ni)	0,18%	0,10–0,25%	—
Молибден (Mo)	—	0,10–0,20%	K60 — +
Кремний (Si)	—	0,10–0,25%	K60 — +
Вольфрам (V)	0,01%	0,01%	—
Ниобий (Nb)	0,066%	0,010–0,025%	О6Г2НДБ — +
Азот (N)	0,008%	0,008%	—
KCV (вязкость)	295–329 МПа	~аналогично	—
📌 Итоговая оценка:
О6Г2НДБ — более стабилизированный сплав за счёт повышенного содержания ниобия, что улучшает структуру и снижает склонность к закалке. Подходит для ответственных деталей, где важна стабильность.
1ОГ2ФБЮ-K60 — более универсальный и гибкий сплав благодаря:
более широкому диапазону легирующих элементов,
наличию молибдена и кремния — повышает жаропрочность, прочность и обрабатываемость.
🔍 Рекомендация:
Если важна стабильность структуры и низкая склонность к закалке — выбирайте О6Г2НДБ.
Если нужна повышенная прочность, жаропрочность и универсальность — выбирайте 1ОГ2ФБЮ-K60.
Оба сплава — высокопрочные, обрабатываемые, с хорошей вязкостью. Выбор зависит от условий эксплуатации.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</si>
</sst>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0"/>
      <color rgb="FF000000"/>
      <name val="Aptos Narrow"/>
      <family val="2"/>
      <charset val="204"/>
      <scheme val="minor"/>
    </font>
    <font>
      <b/>
      <sz val="11"/>
      <color rgb="FF1F1F1F"/>
      <name val="Times New Roman"/>
      <family val="1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38AF781F-56D5-45E5-8F97-94C39D0E5A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CDA8-93D2-4D3A-9E50-C2A3E5A6CA58}">
  <dimension ref="A1:K17"/>
  <sheetViews>
    <sheetView tabSelected="1" zoomScale="70" zoomScaleNormal="85" workbookViewId="0">
      <selection activeCell="G19" sqref="G19"/>
    </sheetView>
  </sheetViews>
  <sheetFormatPr defaultRowHeight="14.5" x14ac:dyDescent="0.35"/>
  <cols>
    <col min="2" max="2" width="24.54296875" customWidth="1"/>
    <col min="3" max="3" width="97.81640625" customWidth="1"/>
    <col min="4" max="4" width="13.36328125" customWidth="1"/>
    <col min="5" max="6" width="13.54296875" customWidth="1"/>
    <col min="7" max="7" width="69.54296875" customWidth="1"/>
    <col min="8" max="8" width="11.26953125" customWidth="1"/>
    <col min="9" max="9" width="13.54296875" customWidth="1"/>
    <col min="10" max="10" width="13.81640625" customWidth="1"/>
    <col min="11" max="11" width="45.453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1" t="s">
        <v>7</v>
      </c>
      <c r="H1" s="2" t="s">
        <v>3</v>
      </c>
      <c r="I1" s="2"/>
      <c r="J1" s="2"/>
    </row>
    <row r="2" spans="1:11" ht="26.5" customHeight="1" x14ac:dyDescent="0.35">
      <c r="A2" s="1"/>
      <c r="B2" s="1"/>
      <c r="C2" s="1"/>
      <c r="D2" s="3" t="s">
        <v>4</v>
      </c>
      <c r="E2" s="3" t="s">
        <v>5</v>
      </c>
      <c r="F2" s="3" t="s">
        <v>6</v>
      </c>
      <c r="G2" s="1"/>
      <c r="H2" s="3" t="s">
        <v>4</v>
      </c>
      <c r="I2" s="3" t="s">
        <v>5</v>
      </c>
      <c r="J2" s="3" t="s">
        <v>6</v>
      </c>
    </row>
    <row r="3" spans="1:11" ht="232" x14ac:dyDescent="0.35">
      <c r="A3" s="4">
        <v>1</v>
      </c>
      <c r="B3" s="5" t="s">
        <v>8</v>
      </c>
      <c r="C3" s="4" t="s">
        <v>9</v>
      </c>
      <c r="D3" s="4">
        <v>10</v>
      </c>
      <c r="E3" s="4" t="s">
        <v>10</v>
      </c>
      <c r="F3" s="4">
        <v>0</v>
      </c>
      <c r="G3" s="4" t="s">
        <v>11</v>
      </c>
      <c r="H3" s="4">
        <v>7</v>
      </c>
      <c r="I3" s="4">
        <v>5</v>
      </c>
      <c r="J3" s="4">
        <v>0</v>
      </c>
    </row>
    <row r="4" spans="1:11" ht="29" x14ac:dyDescent="0.35">
      <c r="A4" s="4">
        <v>2</v>
      </c>
      <c r="B4" s="5" t="s">
        <v>12</v>
      </c>
      <c r="C4" s="4" t="s">
        <v>14</v>
      </c>
      <c r="D4" s="4">
        <v>10</v>
      </c>
      <c r="E4" s="4">
        <v>10</v>
      </c>
      <c r="F4" s="4">
        <v>0</v>
      </c>
      <c r="G4" s="4" t="s">
        <v>13</v>
      </c>
      <c r="H4" s="4">
        <v>0</v>
      </c>
      <c r="I4" s="4">
        <v>0</v>
      </c>
      <c r="J4" s="4">
        <v>3</v>
      </c>
    </row>
    <row r="5" spans="1:11" ht="29" x14ac:dyDescent="0.35">
      <c r="A5" s="4">
        <v>3</v>
      </c>
      <c r="B5" s="5" t="s">
        <v>15</v>
      </c>
      <c r="C5" s="4" t="s">
        <v>16</v>
      </c>
      <c r="D5" s="4">
        <v>10</v>
      </c>
      <c r="E5" s="4">
        <v>9</v>
      </c>
      <c r="F5" s="4">
        <v>0</v>
      </c>
      <c r="G5" s="4" t="s">
        <v>17</v>
      </c>
      <c r="H5" s="4">
        <v>0</v>
      </c>
      <c r="I5" s="4">
        <v>0</v>
      </c>
      <c r="J5" s="4">
        <v>0</v>
      </c>
    </row>
    <row r="6" spans="1:11" ht="116" x14ac:dyDescent="0.35">
      <c r="A6" s="4">
        <v>4</v>
      </c>
      <c r="B6" s="5" t="s">
        <v>18</v>
      </c>
      <c r="C6" s="4" t="s">
        <v>19</v>
      </c>
      <c r="D6" s="4">
        <v>10</v>
      </c>
      <c r="E6" s="4">
        <v>10</v>
      </c>
      <c r="F6" s="4">
        <v>0</v>
      </c>
      <c r="G6" s="4" t="s">
        <v>20</v>
      </c>
      <c r="H6" s="4">
        <v>1</v>
      </c>
      <c r="I6" s="4">
        <v>3</v>
      </c>
      <c r="J6" s="4">
        <v>2</v>
      </c>
    </row>
    <row r="7" spans="1:11" ht="203" x14ac:dyDescent="0.35">
      <c r="A7" s="4">
        <v>5</v>
      </c>
      <c r="B7" s="5" t="s">
        <v>21</v>
      </c>
      <c r="C7" s="4" t="s">
        <v>22</v>
      </c>
      <c r="D7" s="4">
        <v>10</v>
      </c>
      <c r="E7" s="4">
        <v>9</v>
      </c>
      <c r="F7" s="4">
        <v>0</v>
      </c>
      <c r="G7" s="4" t="s">
        <v>23</v>
      </c>
      <c r="H7" s="4">
        <v>8</v>
      </c>
      <c r="I7" s="4">
        <v>3</v>
      </c>
      <c r="J7" s="4">
        <v>3</v>
      </c>
    </row>
    <row r="8" spans="1:11" ht="409.5" x14ac:dyDescent="0.35">
      <c r="A8" s="4">
        <v>6</v>
      </c>
      <c r="B8" s="5" t="s">
        <v>24</v>
      </c>
      <c r="C8" s="4" t="s">
        <v>25</v>
      </c>
      <c r="D8" s="4">
        <v>10</v>
      </c>
      <c r="E8" s="4">
        <v>6</v>
      </c>
      <c r="F8" s="4">
        <v>4</v>
      </c>
      <c r="G8" s="4" t="s">
        <v>26</v>
      </c>
      <c r="H8" s="4">
        <v>3</v>
      </c>
      <c r="I8" s="4">
        <v>4</v>
      </c>
      <c r="J8" s="4">
        <v>0</v>
      </c>
    </row>
    <row r="9" spans="1:11" ht="409.5" x14ac:dyDescent="0.35">
      <c r="A9" s="4">
        <v>7</v>
      </c>
      <c r="B9" s="5" t="s">
        <v>28</v>
      </c>
      <c r="C9" s="4" t="s">
        <v>27</v>
      </c>
      <c r="D9" s="4">
        <v>10</v>
      </c>
      <c r="E9" s="4">
        <v>10</v>
      </c>
      <c r="F9" s="4">
        <v>3</v>
      </c>
      <c r="G9" s="4" t="s">
        <v>29</v>
      </c>
      <c r="H9" s="4">
        <v>8</v>
      </c>
      <c r="I9" s="4">
        <v>10</v>
      </c>
      <c r="J9" s="4">
        <v>1</v>
      </c>
    </row>
    <row r="10" spans="1:11" ht="145" x14ac:dyDescent="0.35">
      <c r="A10" s="4">
        <v>8</v>
      </c>
      <c r="B10" s="5" t="s">
        <v>30</v>
      </c>
      <c r="C10" s="4" t="s">
        <v>31</v>
      </c>
      <c r="D10" s="4">
        <v>10</v>
      </c>
      <c r="E10" s="4">
        <v>10</v>
      </c>
      <c r="F10" s="4">
        <v>0</v>
      </c>
      <c r="G10" s="4" t="s">
        <v>32</v>
      </c>
      <c r="H10" s="4">
        <v>7</v>
      </c>
      <c r="I10" s="4">
        <v>2</v>
      </c>
      <c r="J10" s="4">
        <v>0</v>
      </c>
    </row>
    <row r="11" spans="1:11" ht="348" x14ac:dyDescent="0.35">
      <c r="A11" s="4">
        <v>9</v>
      </c>
      <c r="B11" s="5" t="s">
        <v>33</v>
      </c>
      <c r="C11" s="4" t="s">
        <v>34</v>
      </c>
      <c r="D11" s="4">
        <v>5</v>
      </c>
      <c r="E11" s="4">
        <v>10</v>
      </c>
      <c r="F11" s="4">
        <v>5</v>
      </c>
      <c r="G11" s="4" t="s">
        <v>35</v>
      </c>
      <c r="H11" s="4">
        <v>0</v>
      </c>
      <c r="I11" s="4">
        <v>2</v>
      </c>
      <c r="J11" s="4">
        <v>5</v>
      </c>
      <c r="K11" s="6" t="s">
        <v>36</v>
      </c>
    </row>
    <row r="12" spans="1:11" ht="409.5" x14ac:dyDescent="0.35">
      <c r="A12" s="4">
        <v>10</v>
      </c>
      <c r="B12" s="5" t="s">
        <v>38</v>
      </c>
      <c r="C12" s="4" t="s">
        <v>43</v>
      </c>
      <c r="D12" s="4">
        <v>10</v>
      </c>
      <c r="E12" s="4">
        <v>10</v>
      </c>
      <c r="F12" s="4">
        <v>3</v>
      </c>
      <c r="G12" s="4" t="s">
        <v>37</v>
      </c>
      <c r="H12" s="4">
        <v>3</v>
      </c>
      <c r="I12" s="4">
        <v>3</v>
      </c>
      <c r="J12" s="4">
        <v>5</v>
      </c>
    </row>
    <row r="13" spans="1:11" x14ac:dyDescent="0.35">
      <c r="A13" s="7"/>
      <c r="B13" s="8"/>
      <c r="C13" s="7"/>
      <c r="D13" s="7"/>
      <c r="E13" s="7"/>
      <c r="F13" s="7"/>
      <c r="G13" s="7"/>
      <c r="H13" s="7"/>
      <c r="I13" s="7"/>
      <c r="J13" s="7"/>
    </row>
    <row r="14" spans="1:11" ht="14.5" customHeight="1" x14ac:dyDescent="0.35">
      <c r="A14" s="1" t="s">
        <v>39</v>
      </c>
      <c r="B14" s="1"/>
      <c r="C14" s="1" t="s">
        <v>40</v>
      </c>
      <c r="D14" s="3" t="s">
        <v>4</v>
      </c>
      <c r="E14" s="3" t="s">
        <v>5</v>
      </c>
      <c r="F14" s="3" t="s">
        <v>6</v>
      </c>
      <c r="G14" s="1" t="s">
        <v>41</v>
      </c>
      <c r="H14" s="3" t="s">
        <v>4</v>
      </c>
      <c r="I14" s="3" t="s">
        <v>5</v>
      </c>
      <c r="J14" s="3" t="s">
        <v>6</v>
      </c>
    </row>
    <row r="15" spans="1:11" x14ac:dyDescent="0.35">
      <c r="A15" s="1"/>
      <c r="B15" s="1"/>
      <c r="C15" s="1"/>
      <c r="D15" s="9">
        <f>SUM(D3:D12)</f>
        <v>95</v>
      </c>
      <c r="E15" s="9">
        <f t="shared" ref="E15:F15" si="0">SUM(E3:E12)</f>
        <v>84</v>
      </c>
      <c r="F15" s="10">
        <f t="shared" si="0"/>
        <v>15</v>
      </c>
      <c r="G15" s="1"/>
      <c r="H15" s="10">
        <f>SUM(H3:H12)</f>
        <v>37</v>
      </c>
      <c r="I15" s="10">
        <f t="shared" ref="I15:J15" si="1">SUM(I3:I12)</f>
        <v>32</v>
      </c>
      <c r="J15" s="10">
        <f t="shared" si="1"/>
        <v>19</v>
      </c>
    </row>
    <row r="16" spans="1:11" x14ac:dyDescent="0.35">
      <c r="A16" s="1"/>
      <c r="B16" s="1"/>
      <c r="C16" s="4" t="s">
        <v>42</v>
      </c>
      <c r="D16" s="4">
        <v>100</v>
      </c>
      <c r="E16" s="4">
        <v>100</v>
      </c>
      <c r="F16" s="4">
        <v>0</v>
      </c>
      <c r="G16" s="4" t="s">
        <v>42</v>
      </c>
      <c r="H16" s="4">
        <v>100</v>
      </c>
      <c r="I16" s="4">
        <v>100</v>
      </c>
      <c r="J16" s="4">
        <v>0</v>
      </c>
    </row>
    <row r="17" spans="1:10" x14ac:dyDescent="0.35">
      <c r="A17" s="7"/>
      <c r="B17" s="8"/>
      <c r="C17" s="7"/>
      <c r="D17" s="7"/>
      <c r="E17" s="7"/>
      <c r="F17" s="7"/>
      <c r="G17" s="7"/>
      <c r="H17" s="7"/>
      <c r="I17" s="7"/>
      <c r="J17" s="7"/>
    </row>
  </sheetData>
  <mergeCells count="9">
    <mergeCell ref="C14:C15"/>
    <mergeCell ref="G14:G15"/>
    <mergeCell ref="A14:B16"/>
    <mergeCell ref="A1:A2"/>
    <mergeCell ref="B1:B2"/>
    <mergeCell ref="C1:C2"/>
    <mergeCell ref="H1:J1"/>
    <mergeCell ref="D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Кибиткина Полина Витальевна</dc:creator>
  <cp:lastModifiedBy>Кибиткина Полина Витальевна</cp:lastModifiedBy>
  <dcterms:created xsi:type="dcterms:W3CDTF">2026-06-01T22:28:23Z</dcterms:created>
  <dcterms:modified xsi:type="dcterms:W3CDTF">2026-06-02T11:43:39Z</dcterms:modified>
</cp:coreProperties>
</file>